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esktop\Automation\Zone\"/>
    </mc:Choice>
  </mc:AlternateContent>
  <xr:revisionPtr revIDLastSave="0" documentId="8_{3F4D1069-C187-4D53-8AA5-70C04C4AEAB3}" xr6:coauthVersionLast="47" xr6:coauthVersionMax="47" xr10:uidLastSave="{00000000-0000-0000-0000-000000000000}"/>
  <bookViews>
    <workbookView xWindow="-110" yWindow="-110" windowWidth="19420" windowHeight="10300" xr2:uid="{E244BC88-FC20-422A-AFC4-88150C65E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1" i="1" l="1"/>
  <c r="L51" i="1" s="1"/>
  <c r="G51" i="1"/>
  <c r="J50" i="1"/>
  <c r="L50" i="1" s="1"/>
  <c r="G50" i="1"/>
  <c r="J49" i="1"/>
  <c r="L49" i="1" s="1"/>
  <c r="L48" i="1" s="1"/>
  <c r="G49" i="1"/>
  <c r="G48" i="1" s="1"/>
  <c r="K48" i="1"/>
  <c r="J48" i="1"/>
  <c r="F48" i="1"/>
  <c r="E48" i="1"/>
  <c r="D48" i="1"/>
  <c r="C48" i="1"/>
  <c r="B48" i="1"/>
  <c r="J47" i="1"/>
  <c r="L47" i="1" s="1"/>
  <c r="G47" i="1"/>
  <c r="L46" i="1"/>
  <c r="J46" i="1"/>
  <c r="J45" i="1" s="1"/>
  <c r="J44" i="1" s="1"/>
  <c r="G46" i="1"/>
  <c r="G45" i="1" s="1"/>
  <c r="G44" i="1" s="1"/>
  <c r="K45" i="1"/>
  <c r="F45" i="1"/>
  <c r="E45" i="1"/>
  <c r="E44" i="1" s="1"/>
  <c r="D45" i="1"/>
  <c r="D44" i="1" s="1"/>
  <c r="C45" i="1"/>
  <c r="C44" i="1" s="1"/>
  <c r="B45" i="1"/>
  <c r="B44" i="1" s="1"/>
  <c r="K44" i="1"/>
  <c r="F44" i="1"/>
  <c r="J43" i="1"/>
  <c r="L43" i="1" s="1"/>
  <c r="G43" i="1"/>
  <c r="L42" i="1"/>
  <c r="L41" i="1" s="1"/>
  <c r="J42" i="1"/>
  <c r="J41" i="1" s="1"/>
  <c r="G42" i="1"/>
  <c r="G41" i="1" s="1"/>
  <c r="K41" i="1"/>
  <c r="F41" i="1"/>
  <c r="E41" i="1"/>
  <c r="D41" i="1"/>
  <c r="C41" i="1"/>
  <c r="B41" i="1"/>
  <c r="L40" i="1"/>
  <c r="J40" i="1"/>
  <c r="J38" i="1" s="1"/>
  <c r="G40" i="1"/>
  <c r="G38" i="1" s="1"/>
  <c r="J39" i="1"/>
  <c r="L39" i="1" s="1"/>
  <c r="L38" i="1" s="1"/>
  <c r="L37" i="1" s="1"/>
  <c r="G39" i="1"/>
  <c r="K38" i="1"/>
  <c r="F38" i="1"/>
  <c r="F37" i="1" s="1"/>
  <c r="E38" i="1"/>
  <c r="E37" i="1" s="1"/>
  <c r="D38" i="1"/>
  <c r="D37" i="1" s="1"/>
  <c r="C38" i="1"/>
  <c r="C37" i="1" s="1"/>
  <c r="B38" i="1"/>
  <c r="B37" i="1" s="1"/>
  <c r="K37" i="1"/>
  <c r="L36" i="1"/>
  <c r="J36" i="1"/>
  <c r="G36" i="1"/>
  <c r="J35" i="1"/>
  <c r="L35" i="1" s="1"/>
  <c r="G35" i="1"/>
  <c r="J34" i="1"/>
  <c r="L34" i="1" s="1"/>
  <c r="G34" i="1"/>
  <c r="J33" i="1"/>
  <c r="L33" i="1" s="1"/>
  <c r="G33" i="1"/>
  <c r="L32" i="1"/>
  <c r="L31" i="1" s="1"/>
  <c r="J32" i="1"/>
  <c r="J31" i="1" s="1"/>
  <c r="G32" i="1"/>
  <c r="G31" i="1" s="1"/>
  <c r="K31" i="1"/>
  <c r="F31" i="1"/>
  <c r="E31" i="1"/>
  <c r="D31" i="1"/>
  <c r="C31" i="1"/>
  <c r="C25" i="1" s="1"/>
  <c r="B31" i="1"/>
  <c r="L30" i="1"/>
  <c r="J30" i="1"/>
  <c r="G30" i="1"/>
  <c r="J29" i="1"/>
  <c r="L29" i="1" s="1"/>
  <c r="G29" i="1"/>
  <c r="J28" i="1"/>
  <c r="L28" i="1" s="1"/>
  <c r="G28" i="1"/>
  <c r="J27" i="1"/>
  <c r="L27" i="1" s="1"/>
  <c r="G27" i="1"/>
  <c r="G26" i="1" s="1"/>
  <c r="G25" i="1" s="1"/>
  <c r="K26" i="1"/>
  <c r="K25" i="1" s="1"/>
  <c r="K24" i="1" s="1"/>
  <c r="J26" i="1"/>
  <c r="F26" i="1"/>
  <c r="E26" i="1"/>
  <c r="D26" i="1"/>
  <c r="D25" i="1" s="1"/>
  <c r="C26" i="1"/>
  <c r="B26" i="1"/>
  <c r="B25" i="1" s="1"/>
  <c r="F25" i="1"/>
  <c r="F24" i="1" s="1"/>
  <c r="E25" i="1"/>
  <c r="J23" i="1"/>
  <c r="L23" i="1" s="1"/>
  <c r="G23" i="1"/>
  <c r="J22" i="1"/>
  <c r="L22" i="1" s="1"/>
  <c r="L21" i="1" s="1"/>
  <c r="G22" i="1"/>
  <c r="K21" i="1"/>
  <c r="J21" i="1"/>
  <c r="G21" i="1"/>
  <c r="F21" i="1"/>
  <c r="E21" i="1"/>
  <c r="D21" i="1"/>
  <c r="C21" i="1"/>
  <c r="B21" i="1"/>
  <c r="J20" i="1"/>
  <c r="L20" i="1" s="1"/>
  <c r="G20" i="1"/>
  <c r="J19" i="1"/>
  <c r="L19" i="1" s="1"/>
  <c r="L18" i="1" s="1"/>
  <c r="G19" i="1"/>
  <c r="G18" i="1" s="1"/>
  <c r="K18" i="1"/>
  <c r="J18" i="1"/>
  <c r="F18" i="1"/>
  <c r="E18" i="1"/>
  <c r="D18" i="1"/>
  <c r="C18" i="1"/>
  <c r="B18" i="1"/>
  <c r="J17" i="1"/>
  <c r="L17" i="1" s="1"/>
  <c r="G17" i="1"/>
  <c r="J16" i="1"/>
  <c r="J15" i="1" s="1"/>
  <c r="J14" i="1" s="1"/>
  <c r="G16" i="1"/>
  <c r="G15" i="1" s="1"/>
  <c r="K15" i="1"/>
  <c r="F15" i="1"/>
  <c r="F14" i="1" s="1"/>
  <c r="E15" i="1"/>
  <c r="E14" i="1" s="1"/>
  <c r="D15" i="1"/>
  <c r="D14" i="1" s="1"/>
  <c r="C15" i="1"/>
  <c r="C14" i="1" s="1"/>
  <c r="B15" i="1"/>
  <c r="B14" i="1" s="1"/>
  <c r="K14" i="1"/>
  <c r="J13" i="1"/>
  <c r="L13" i="1" s="1"/>
  <c r="G13" i="1"/>
  <c r="J12" i="1"/>
  <c r="L12" i="1" s="1"/>
  <c r="G12" i="1"/>
  <c r="G10" i="1" s="1"/>
  <c r="J11" i="1"/>
  <c r="L11" i="1" s="1"/>
  <c r="G11" i="1"/>
  <c r="K10" i="1"/>
  <c r="F10" i="1"/>
  <c r="E10" i="1"/>
  <c r="D10" i="1"/>
  <c r="D5" i="1" s="1"/>
  <c r="C10" i="1"/>
  <c r="C5" i="1" s="1"/>
  <c r="B10" i="1"/>
  <c r="J9" i="1"/>
  <c r="L9" i="1" s="1"/>
  <c r="G9" i="1"/>
  <c r="J8" i="1"/>
  <c r="L8" i="1" s="1"/>
  <c r="G8" i="1"/>
  <c r="J7" i="1"/>
  <c r="L7" i="1" s="1"/>
  <c r="G7" i="1"/>
  <c r="G6" i="1" s="1"/>
  <c r="G5" i="1" s="1"/>
  <c r="K6" i="1"/>
  <c r="K5" i="1" s="1"/>
  <c r="J6" i="1"/>
  <c r="F6" i="1"/>
  <c r="E6" i="1"/>
  <c r="D6" i="1"/>
  <c r="C6" i="1"/>
  <c r="B6" i="1"/>
  <c r="B5" i="1" s="1"/>
  <c r="F5" i="1"/>
  <c r="E5" i="1"/>
  <c r="B24" i="1" l="1"/>
  <c r="D24" i="1"/>
  <c r="D4" i="1" s="1"/>
  <c r="B4" i="1"/>
  <c r="K4" i="1"/>
  <c r="J25" i="1"/>
  <c r="J24" i="1" s="1"/>
  <c r="C24" i="1"/>
  <c r="C4" i="1" s="1"/>
  <c r="L6" i="1"/>
  <c r="L5" i="1" s="1"/>
  <c r="G14" i="1"/>
  <c r="G4" i="1" s="1"/>
  <c r="G24" i="1"/>
  <c r="G37" i="1"/>
  <c r="L45" i="1"/>
  <c r="L44" i="1" s="1"/>
  <c r="L10" i="1"/>
  <c r="L26" i="1"/>
  <c r="L25" i="1" s="1"/>
  <c r="L24" i="1" s="1"/>
  <c r="J37" i="1"/>
  <c r="F4" i="1"/>
  <c r="E24" i="1"/>
  <c r="E4" i="1" s="1"/>
  <c r="J10" i="1"/>
  <c r="J5" i="1" s="1"/>
  <c r="J4" i="1" s="1"/>
  <c r="L16" i="1"/>
  <c r="L15" i="1" s="1"/>
  <c r="L14" i="1" s="1"/>
  <c r="L4" i="1" l="1"/>
</calcChain>
</file>

<file path=xl/sharedStrings.xml><?xml version="1.0" encoding="utf-8"?>
<sst xmlns="http://schemas.openxmlformats.org/spreadsheetml/2006/main" count="62" uniqueCount="62">
  <si>
    <t>PAN INDIA-STAGE-3 SUMMARY 23-Jun-26</t>
  </si>
  <si>
    <t>ZONE/REGION</t>
  </si>
  <si>
    <t>Stock</t>
  </si>
  <si>
    <t>Projection (MB)</t>
  </si>
  <si>
    <t>Projection (AOD)</t>
  </si>
  <si>
    <t>Achieved</t>
  </si>
  <si>
    <t>LMTD -MAY-26</t>
  </si>
  <si>
    <t>S3 Net Projection</t>
  </si>
  <si>
    <t>RB</t>
  </si>
  <si>
    <t>GA Release</t>
  </si>
  <si>
    <t>Total</t>
  </si>
  <si>
    <t>Gross Reduction</t>
  </si>
  <si>
    <t>S3C Flow</t>
  </si>
  <si>
    <t>Net</t>
  </si>
  <si>
    <t>PAN INDIA</t>
  </si>
  <si>
    <t>EAST</t>
  </si>
  <si>
    <t>EAST_1</t>
  </si>
  <si>
    <t>CHATTISGARH</t>
  </si>
  <si>
    <t>ODISHA</t>
  </si>
  <si>
    <t>WEST_BENGAL</t>
  </si>
  <si>
    <t>EAST_2</t>
  </si>
  <si>
    <t>BIHAR</t>
  </si>
  <si>
    <t>JHARKHAND</t>
  </si>
  <si>
    <t>NORTH_EAST</t>
  </si>
  <si>
    <t>NORTH</t>
  </si>
  <si>
    <t>NORTH_1</t>
  </si>
  <si>
    <t>DELHI</t>
  </si>
  <si>
    <t>UTTAR_PRADESH</t>
  </si>
  <si>
    <t>NORTH_2</t>
  </si>
  <si>
    <t>PHC</t>
  </si>
  <si>
    <t>UTTARAKHAND</t>
  </si>
  <si>
    <t>NORTH_3</t>
  </si>
  <si>
    <t>RAJASTHAN_1</t>
  </si>
  <si>
    <t>RAJASTHAN_2</t>
  </si>
  <si>
    <t>SOUTH</t>
  </si>
  <si>
    <t>SOUTH_1</t>
  </si>
  <si>
    <t>ANDHRA_PRADESH</t>
  </si>
  <si>
    <t>ANDHRA_PRADESH_1</t>
  </si>
  <si>
    <t>ANDHRA_PRADESH_2</t>
  </si>
  <si>
    <t>ANDHRA_PRADESH_3</t>
  </si>
  <si>
    <t>KERALA_REGION</t>
  </si>
  <si>
    <t>TAMIL_NADU</t>
  </si>
  <si>
    <t>TN_1 &amp; 4</t>
  </si>
  <si>
    <t>TN_2</t>
  </si>
  <si>
    <t>TN_5</t>
  </si>
  <si>
    <t>TN_3</t>
  </si>
  <si>
    <t>TN_6</t>
  </si>
  <si>
    <t>SOUTH_2</t>
  </si>
  <si>
    <t>KARNATAKA</t>
  </si>
  <si>
    <t>KA_1-3 &amp; 5-7</t>
  </si>
  <si>
    <t>KA_4</t>
  </si>
  <si>
    <t>TELANGANA</t>
  </si>
  <si>
    <t>TS 1 &amp; 3-5</t>
  </si>
  <si>
    <t>TS 2</t>
  </si>
  <si>
    <t>WEST</t>
  </si>
  <si>
    <t>WEST_1</t>
  </si>
  <si>
    <t>GUJARAT</t>
  </si>
  <si>
    <t>MAHARASTRA</t>
  </si>
  <si>
    <t>WEST_2</t>
  </si>
  <si>
    <t>GOA</t>
  </si>
  <si>
    <t>MADHYA_PRADESH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</si>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</sst>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43" fontId="2" fillId="2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/>
    </xf>
    <xf numFmtId="2" fontId="5" fillId="8" borderId="1" xfId="0" applyNumberFormat="1" applyFont="1" applyFill="1" applyBorder="1" applyAlignment="1">
      <alignment horizontal="center" vertical="top"/>
    </xf>
    <xf numFmtId="2" fontId="5" fillId="8" borderId="2" xfId="0" applyNumberFormat="1" applyFont="1" applyFill="1" applyBorder="1" applyAlignment="1">
      <alignment horizontal="center" vertical="top"/>
    </xf>
    <xf numFmtId="0" fontId="6" fillId="8" borderId="1" xfId="0" applyFont="1" applyFill="1" applyBorder="1"/>
    <xf numFmtId="2" fontId="6" fillId="8" borderId="1" xfId="0" applyNumberFormat="1" applyFont="1" applyFill="1" applyBorder="1" applyAlignment="1">
      <alignment horizontal="center"/>
    </xf>
    <xf numFmtId="2" fontId="6" fillId="8" borderId="2" xfId="0" applyNumberFormat="1" applyFont="1" applyFill="1" applyBorder="1" applyAlignment="1">
      <alignment horizontal="center"/>
    </xf>
    <xf numFmtId="0" fontId="6" fillId="9" borderId="1" xfId="0" applyFont="1" applyFill="1" applyBorder="1"/>
    <xf numFmtId="2" fontId="6" fillId="9" borderId="1" xfId="0" applyNumberFormat="1" applyFont="1" applyFill="1" applyBorder="1" applyAlignment="1">
      <alignment horizontal="center"/>
    </xf>
    <xf numFmtId="2" fontId="6" fillId="9" borderId="2" xfId="0" applyNumberFormat="1" applyFont="1" applyFill="1" applyBorder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7" fillId="9" borderId="1" xfId="0" applyFont="1" applyFill="1" applyBorder="1"/>
    <xf numFmtId="2" fontId="7" fillId="9" borderId="1" xfId="0" applyNumberFormat="1" applyFont="1" applyFill="1" applyBorder="1" applyAlignment="1">
      <alignment horizontal="center"/>
    </xf>
    <xf numFmtId="2" fontId="7" fillId="9" borderId="2" xfId="0" applyNumberFormat="1" applyFont="1" applyFill="1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0" fontId="6" fillId="10" borderId="1" xfId="0" applyFont="1" applyFill="1" applyBorder="1" applyAlignment="1">
      <alignment vertical="center"/>
    </xf>
    <xf numFmtId="2" fontId="6" fillId="10" borderId="1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2" fontId="6" fillId="9" borderId="1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2" fontId="6" fillId="8" borderId="1" xfId="0" applyNumberFormat="1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4" fillId="0" borderId="0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A633-6FB6-4646-BAD3-505432AF2A32}">
  <dimension ref="A1:O57"/>
  <sheetViews>
    <sheetView tabSelected="1" workbookViewId="0">
      <selection activeCell="O4" sqref="O4"/>
    </sheetView>
  </sheetViews>
  <sheetFormatPr defaultColWidth="8.81640625" defaultRowHeight="13" x14ac:dyDescent="0.35"/>
  <cols>
    <col min="1" max="1" width="18.453125" style="43" bestFit="1" customWidth="1"/>
    <col min="2" max="2" width="7.54296875" style="2" bestFit="1" customWidth="1"/>
    <col min="3" max="3" width="9.26953125" style="2" customWidth="1"/>
    <col min="4" max="4" width="9.453125" style="2" customWidth="1"/>
    <col min="5" max="5" width="7.54296875" style="2" bestFit="1" customWidth="1"/>
    <col min="6" max="6" width="7.1796875" style="2" bestFit="1" customWidth="1"/>
    <col min="7" max="7" width="7.54296875" style="2" bestFit="1" customWidth="1"/>
    <col min="8" max="8" width="7.54296875" style="2" customWidth="1"/>
    <col min="9" max="9" width="0.81640625" style="2" customWidth="1"/>
    <col min="10" max="10" width="9" style="2" bestFit="1" customWidth="1"/>
    <col min="11" max="11" width="8.1796875" style="2" bestFit="1" customWidth="1"/>
    <col min="12" max="12" width="6.1796875" style="2" bestFit="1" customWidth="1"/>
    <col min="13" max="16384" width="8.81640625" style="2"/>
  </cols>
  <sheetData>
    <row r="1" spans="1:12" ht="18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9" customFormat="1" ht="25.5" customHeight="1" x14ac:dyDescent="0.35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7"/>
      <c r="G2" s="7"/>
      <c r="H2" s="8" t="s">
        <v>6</v>
      </c>
      <c r="J2" s="10" t="s">
        <v>7</v>
      </c>
      <c r="K2" s="10"/>
      <c r="L2" s="10"/>
    </row>
    <row r="3" spans="1:12" s="9" customFormat="1" ht="26" x14ac:dyDescent="0.35">
      <c r="A3" s="3"/>
      <c r="B3" s="4"/>
      <c r="C3" s="5"/>
      <c r="D3" s="6"/>
      <c r="E3" s="11" t="s">
        <v>8</v>
      </c>
      <c r="F3" s="11" t="s">
        <v>9</v>
      </c>
      <c r="G3" s="11" t="s">
        <v>10</v>
      </c>
      <c r="H3" s="8"/>
      <c r="J3" s="12" t="s">
        <v>11</v>
      </c>
      <c r="K3" s="12" t="s">
        <v>12</v>
      </c>
      <c r="L3" s="12" t="s">
        <v>13</v>
      </c>
    </row>
    <row r="4" spans="1:12" s="9" customFormat="1" x14ac:dyDescent="0.35">
      <c r="A4" s="13" t="s">
        <v>14</v>
      </c>
      <c r="B4" s="14">
        <f t="shared" ref="B4:G4" si="0">+B5+B14+B24+B44</f>
        <v>1203.552208546</v>
      </c>
      <c r="C4" s="14">
        <f t="shared" si="0"/>
        <v>75.253129629</v>
      </c>
      <c r="D4" s="14">
        <f t="shared" si="0"/>
        <v>70.364180542</v>
      </c>
      <c r="E4" s="14">
        <f t="shared" si="0"/>
        <v>20.536993514999999</v>
      </c>
      <c r="F4" s="14">
        <f t="shared" si="0"/>
        <v>4.1434236051875963</v>
      </c>
      <c r="G4" s="14">
        <f t="shared" si="0"/>
        <v>24.680417120187592</v>
      </c>
      <c r="H4" s="14">
        <v>25.502841742652514</v>
      </c>
      <c r="I4" s="2"/>
      <c r="J4" s="15">
        <f>+J5+J14+J24+J44</f>
        <v>70.364180542</v>
      </c>
      <c r="K4" s="15">
        <f>+K5+K14+K24+K44</f>
        <v>70.139917816999997</v>
      </c>
      <c r="L4" s="15">
        <f>+L5+L14+L24+L44</f>
        <v>-0.22426272500000399</v>
      </c>
    </row>
    <row r="5" spans="1:12" s="9" customFormat="1" x14ac:dyDescent="0.3">
      <c r="A5" s="16" t="s">
        <v>15</v>
      </c>
      <c r="B5" s="17">
        <f>+B6+B10</f>
        <v>159.33214180000002</v>
      </c>
      <c r="C5" s="17">
        <f t="shared" ref="C5:L5" si="1">+C6+C10</f>
        <v>13.486471065</v>
      </c>
      <c r="D5" s="17">
        <f t="shared" si="1"/>
        <v>12.046096072000001</v>
      </c>
      <c r="E5" s="17">
        <f t="shared" si="1"/>
        <v>2.0310064629999998</v>
      </c>
      <c r="F5" s="17">
        <f t="shared" si="1"/>
        <v>0.17507378996008699</v>
      </c>
      <c r="G5" s="17">
        <f t="shared" si="1"/>
        <v>2.2060802529600871</v>
      </c>
      <c r="H5" s="17">
        <v>3.7316331687844828</v>
      </c>
      <c r="I5" s="2"/>
      <c r="J5" s="18">
        <f t="shared" si="1"/>
        <v>12.046096072000001</v>
      </c>
      <c r="K5" s="18">
        <f t="shared" si="1"/>
        <v>4.0894273320000005</v>
      </c>
      <c r="L5" s="18">
        <f t="shared" si="1"/>
        <v>-7.9566687400000013</v>
      </c>
    </row>
    <row r="6" spans="1:12" s="9" customFormat="1" x14ac:dyDescent="0.3">
      <c r="A6" s="19" t="s">
        <v>16</v>
      </c>
      <c r="B6" s="20">
        <f>+SUM(B7:B9)</f>
        <v>110.69889025200003</v>
      </c>
      <c r="C6" s="20">
        <f t="shared" ref="C6:L6" si="2">+SUM(C7:C9)</f>
        <v>6.8028589410000002</v>
      </c>
      <c r="D6" s="20">
        <f t="shared" si="2"/>
        <v>6.5431118480000006</v>
      </c>
      <c r="E6" s="20">
        <f t="shared" si="2"/>
        <v>0.89719451899999991</v>
      </c>
      <c r="F6" s="20">
        <f t="shared" si="2"/>
        <v>0.1444555004990013</v>
      </c>
      <c r="G6" s="20">
        <f t="shared" si="2"/>
        <v>1.0416500194990013</v>
      </c>
      <c r="H6" s="20">
        <v>2.7970398648288421</v>
      </c>
      <c r="I6" s="2"/>
      <c r="J6" s="21">
        <f t="shared" si="2"/>
        <v>6.5431118480000006</v>
      </c>
      <c r="K6" s="21">
        <f t="shared" si="2"/>
        <v>2.3780040820000004</v>
      </c>
      <c r="L6" s="21">
        <f t="shared" si="2"/>
        <v>-4.1651077660000002</v>
      </c>
    </row>
    <row r="7" spans="1:12" s="9" customFormat="1" x14ac:dyDescent="0.3">
      <c r="A7" s="22" t="s">
        <v>17</v>
      </c>
      <c r="B7" s="23">
        <v>28.691876759000007</v>
      </c>
      <c r="C7" s="23">
        <v>2.1299787920000002</v>
      </c>
      <c r="D7" s="23">
        <v>2.2336901190000003</v>
      </c>
      <c r="E7" s="23">
        <v>0.49106851899999993</v>
      </c>
      <c r="F7" s="23">
        <v>9.4105400499001263E-2</v>
      </c>
      <c r="G7" s="23">
        <f>+SUM(E7:F7)</f>
        <v>0.58517391949900122</v>
      </c>
      <c r="H7" s="23">
        <v>5.9463304955090779E-3</v>
      </c>
      <c r="I7" s="2"/>
      <c r="J7" s="24">
        <f>+D7</f>
        <v>2.2336901190000003</v>
      </c>
      <c r="K7" s="24">
        <v>3.1006359000000004E-2</v>
      </c>
      <c r="L7" s="24">
        <f>+K7-J7</f>
        <v>-2.2026837600000002</v>
      </c>
    </row>
    <row r="8" spans="1:12" s="9" customFormat="1" x14ac:dyDescent="0.3">
      <c r="A8" s="22" t="s">
        <v>18</v>
      </c>
      <c r="B8" s="23">
        <v>15.969470854999999</v>
      </c>
      <c r="C8" s="23">
        <v>0.63919959999999998</v>
      </c>
      <c r="D8" s="23">
        <v>0.63919959999999998</v>
      </c>
      <c r="E8" s="23">
        <v>0.2602409</v>
      </c>
      <c r="F8" s="23">
        <v>1.1442000000000119E-3</v>
      </c>
      <c r="G8" s="23">
        <f>+SUM(E8:F8)</f>
        <v>0.26138510000000004</v>
      </c>
      <c r="H8" s="23">
        <v>0.50930614799999996</v>
      </c>
      <c r="I8" s="2"/>
      <c r="J8" s="24">
        <f>+D8</f>
        <v>0.63919959999999998</v>
      </c>
      <c r="K8" s="24">
        <v>1.8085504810000002</v>
      </c>
      <c r="L8" s="24">
        <f>+K8-J8</f>
        <v>1.1693508810000002</v>
      </c>
    </row>
    <row r="9" spans="1:12" s="9" customFormat="1" x14ac:dyDescent="0.3">
      <c r="A9" s="22" t="s">
        <v>19</v>
      </c>
      <c r="B9" s="23">
        <v>66.037542638000019</v>
      </c>
      <c r="C9" s="23">
        <v>4.0336805490000005</v>
      </c>
      <c r="D9" s="23">
        <v>3.6702221289999999</v>
      </c>
      <c r="E9" s="23">
        <v>0.14588509999999999</v>
      </c>
      <c r="F9" s="23">
        <v>4.9205900000000011E-2</v>
      </c>
      <c r="G9" s="23">
        <f>+SUM(E9:F9)</f>
        <v>0.19509100000000001</v>
      </c>
      <c r="H9" s="23">
        <v>2.2817873863333329</v>
      </c>
      <c r="I9" s="2"/>
      <c r="J9" s="24">
        <f>+D9</f>
        <v>3.6702221289999999</v>
      </c>
      <c r="K9" s="24">
        <v>0.53844724200000005</v>
      </c>
      <c r="L9" s="24">
        <f>+K9-J9</f>
        <v>-3.1317748869999997</v>
      </c>
    </row>
    <row r="10" spans="1:12" s="9" customFormat="1" x14ac:dyDescent="0.3">
      <c r="A10" s="19" t="s">
        <v>20</v>
      </c>
      <c r="B10" s="20">
        <f>+SUM(B11:B13)</f>
        <v>48.63325154799999</v>
      </c>
      <c r="C10" s="20">
        <f t="shared" ref="C10:L10" si="3">+SUM(C11:C13)</f>
        <v>6.6836121240000006</v>
      </c>
      <c r="D10" s="20">
        <f t="shared" si="3"/>
        <v>5.5029842240000004</v>
      </c>
      <c r="E10" s="20">
        <f t="shared" si="3"/>
        <v>1.1338119440000001</v>
      </c>
      <c r="F10" s="20">
        <f t="shared" si="3"/>
        <v>3.061828946108569E-2</v>
      </c>
      <c r="G10" s="20">
        <f t="shared" si="3"/>
        <v>1.1644302334610859</v>
      </c>
      <c r="H10" s="20">
        <v>0.93459330395564089</v>
      </c>
      <c r="I10" s="2"/>
      <c r="J10" s="21">
        <f t="shared" si="3"/>
        <v>5.5029842240000004</v>
      </c>
      <c r="K10" s="21">
        <f t="shared" si="3"/>
        <v>1.7114232500000002</v>
      </c>
      <c r="L10" s="21">
        <f t="shared" si="3"/>
        <v>-3.7915609740000007</v>
      </c>
    </row>
    <row r="11" spans="1:12" s="9" customFormat="1" x14ac:dyDescent="0.3">
      <c r="A11" s="22" t="s">
        <v>21</v>
      </c>
      <c r="B11" s="23">
        <v>18.333978644999998</v>
      </c>
      <c r="C11" s="23">
        <v>3.1457585440000004</v>
      </c>
      <c r="D11" s="23">
        <v>2.7413576440000003</v>
      </c>
      <c r="E11" s="23">
        <v>0.75786954400000006</v>
      </c>
      <c r="F11" s="23">
        <v>4.186739283149582E-3</v>
      </c>
      <c r="G11" s="23">
        <f>+SUM(E11:F11)</f>
        <v>0.76205628328314967</v>
      </c>
      <c r="H11" s="23">
        <v>0.59603801062230743</v>
      </c>
      <c r="I11" s="2"/>
      <c r="J11" s="24">
        <f>+D11</f>
        <v>2.7413576440000003</v>
      </c>
      <c r="K11" s="24">
        <v>0.63109084999999998</v>
      </c>
      <c r="L11" s="24">
        <f>+K11-J11</f>
        <v>-2.1102667940000002</v>
      </c>
    </row>
    <row r="12" spans="1:12" s="9" customFormat="1" x14ac:dyDescent="0.3">
      <c r="A12" s="22" t="s">
        <v>22</v>
      </c>
      <c r="B12" s="23">
        <v>5.7780101790000007</v>
      </c>
      <c r="C12" s="23">
        <v>0.27165879999999998</v>
      </c>
      <c r="D12" s="23">
        <v>0.27165879999999998</v>
      </c>
      <c r="E12" s="23">
        <v>0</v>
      </c>
      <c r="F12" s="23">
        <v>7.4677704526219801E-3</v>
      </c>
      <c r="G12" s="23">
        <f>+SUM(E12:F12)</f>
        <v>7.4677704526219801E-3</v>
      </c>
      <c r="H12" s="23">
        <v>6.811297333333334E-2</v>
      </c>
      <c r="I12" s="2"/>
      <c r="J12" s="24">
        <f>+D12</f>
        <v>0.27165879999999998</v>
      </c>
      <c r="K12" s="24">
        <v>0</v>
      </c>
      <c r="L12" s="24">
        <f>+K12-J12</f>
        <v>-0.27165879999999998</v>
      </c>
    </row>
    <row r="13" spans="1:12" s="9" customFormat="1" x14ac:dyDescent="0.3">
      <c r="A13" s="22" t="s">
        <v>23</v>
      </c>
      <c r="B13" s="23">
        <v>24.521262723999989</v>
      </c>
      <c r="C13" s="23">
        <v>3.2661947800000002</v>
      </c>
      <c r="D13" s="23">
        <v>2.4899677800000006</v>
      </c>
      <c r="E13" s="23">
        <v>0.37594240000000001</v>
      </c>
      <c r="F13" s="23">
        <v>1.8963779725314128E-2</v>
      </c>
      <c r="G13" s="23">
        <f>+SUM(E13:F13)</f>
        <v>0.39490617972531417</v>
      </c>
      <c r="H13" s="23">
        <v>0.27044232000000012</v>
      </c>
      <c r="I13" s="2"/>
      <c r="J13" s="24">
        <f>+D13</f>
        <v>2.4899677800000006</v>
      </c>
      <c r="K13" s="24">
        <v>1.0803324000000001</v>
      </c>
      <c r="L13" s="24">
        <f>+K13-J13</f>
        <v>-1.4096353800000005</v>
      </c>
    </row>
    <row r="14" spans="1:12" s="9" customFormat="1" x14ac:dyDescent="0.3">
      <c r="A14" s="16" t="s">
        <v>24</v>
      </c>
      <c r="B14" s="17">
        <f>+B15+B18+B21</f>
        <v>373.67172274100017</v>
      </c>
      <c r="C14" s="17">
        <f t="shared" ref="C14:L14" si="4">+C15+C18+C21</f>
        <v>25.136209684000004</v>
      </c>
      <c r="D14" s="17">
        <f t="shared" si="4"/>
        <v>26.010283110000003</v>
      </c>
      <c r="E14" s="17">
        <f t="shared" si="4"/>
        <v>8.6038168289999994</v>
      </c>
      <c r="F14" s="17">
        <f t="shared" si="4"/>
        <v>2.4250764059916898</v>
      </c>
      <c r="G14" s="17">
        <f t="shared" si="4"/>
        <v>11.028893234991688</v>
      </c>
      <c r="H14" s="17">
        <v>7.6659602314950996</v>
      </c>
      <c r="I14" s="2"/>
      <c r="J14" s="18">
        <f t="shared" si="4"/>
        <v>26.010283110000003</v>
      </c>
      <c r="K14" s="18">
        <f t="shared" si="4"/>
        <v>21.440839415999996</v>
      </c>
      <c r="L14" s="18">
        <f t="shared" si="4"/>
        <v>-4.5694436940000056</v>
      </c>
    </row>
    <row r="15" spans="1:12" s="9" customFormat="1" x14ac:dyDescent="0.3">
      <c r="A15" s="19" t="s">
        <v>25</v>
      </c>
      <c r="B15" s="20">
        <f>+SUM(B16:B17)</f>
        <v>155.53978896700013</v>
      </c>
      <c r="C15" s="20">
        <f t="shared" ref="C15:L15" si="5">+SUM(C16:C17)</f>
        <v>10.722813956000001</v>
      </c>
      <c r="D15" s="20">
        <f t="shared" si="5"/>
        <v>10.758463582000001</v>
      </c>
      <c r="E15" s="20">
        <f t="shared" si="5"/>
        <v>0.57439082599999991</v>
      </c>
      <c r="F15" s="20">
        <f t="shared" si="5"/>
        <v>2.2113590834762795</v>
      </c>
      <c r="G15" s="20">
        <f t="shared" si="5"/>
        <v>2.7857499094762797</v>
      </c>
      <c r="H15" s="20">
        <v>1.4664224374568964</v>
      </c>
      <c r="I15" s="2"/>
      <c r="J15" s="21">
        <f t="shared" si="5"/>
        <v>10.758463582000001</v>
      </c>
      <c r="K15" s="21">
        <f t="shared" si="5"/>
        <v>4.8903064200000008</v>
      </c>
      <c r="L15" s="21">
        <f t="shared" si="5"/>
        <v>-5.8681571619999993</v>
      </c>
    </row>
    <row r="16" spans="1:12" s="9" customFormat="1" x14ac:dyDescent="0.3">
      <c r="A16" s="22" t="s">
        <v>26</v>
      </c>
      <c r="B16" s="23">
        <v>128.75414311100013</v>
      </c>
      <c r="C16" s="23">
        <v>10.041345656000001</v>
      </c>
      <c r="D16" s="23">
        <v>10.035161256</v>
      </c>
      <c r="E16" s="23">
        <v>0.53255679999999994</v>
      </c>
      <c r="F16" s="23">
        <v>2.2040449231742194</v>
      </c>
      <c r="G16" s="23">
        <f>+SUM(E16:F16)</f>
        <v>2.7366017231742195</v>
      </c>
      <c r="H16" s="23">
        <v>1.2773338569723807</v>
      </c>
      <c r="I16" s="2"/>
      <c r="J16" s="24">
        <f>+D16</f>
        <v>10.035161256</v>
      </c>
      <c r="K16" s="24">
        <v>4.5003601200000007</v>
      </c>
      <c r="L16" s="24">
        <f>+K16-J16</f>
        <v>-5.5348011359999996</v>
      </c>
    </row>
    <row r="17" spans="1:15" s="9" customFormat="1" x14ac:dyDescent="0.3">
      <c r="A17" s="22" t="s">
        <v>27</v>
      </c>
      <c r="B17" s="23">
        <v>26.785645855999995</v>
      </c>
      <c r="C17" s="23">
        <v>0.68146829999999992</v>
      </c>
      <c r="D17" s="23">
        <v>0.72330232599999988</v>
      </c>
      <c r="E17" s="23">
        <v>4.1834026000000003E-2</v>
      </c>
      <c r="F17" s="23">
        <v>7.3141603020603334E-3</v>
      </c>
      <c r="G17" s="23">
        <f>+SUM(E17:F17)</f>
        <v>4.9148186302060339E-2</v>
      </c>
      <c r="H17" s="23">
        <v>0.18908858048451563</v>
      </c>
      <c r="I17" s="2"/>
      <c r="J17" s="24">
        <f>+D17</f>
        <v>0.72330232599999988</v>
      </c>
      <c r="K17" s="24">
        <v>0.38994629999999997</v>
      </c>
      <c r="L17" s="24">
        <f>+K17-J17</f>
        <v>-0.33335602599999992</v>
      </c>
    </row>
    <row r="18" spans="1:15" s="9" customFormat="1" x14ac:dyDescent="0.3">
      <c r="A18" s="25" t="s">
        <v>28</v>
      </c>
      <c r="B18" s="26">
        <f>+SUM(B19:B20)</f>
        <v>106.559786914</v>
      </c>
      <c r="C18" s="26">
        <f t="shared" ref="C18:L18" si="6">+SUM(C19:C20)</f>
        <v>5.3836052730000006</v>
      </c>
      <c r="D18" s="26">
        <f t="shared" si="6"/>
        <v>5.5611941730000005</v>
      </c>
      <c r="E18" s="26">
        <f t="shared" si="6"/>
        <v>5.7007687029999996</v>
      </c>
      <c r="F18" s="26">
        <f t="shared" si="6"/>
        <v>1.4993056934115689E-2</v>
      </c>
      <c r="G18" s="26">
        <f t="shared" si="6"/>
        <v>5.7157617599341153</v>
      </c>
      <c r="H18" s="26">
        <v>2.9149958453264158</v>
      </c>
      <c r="I18" s="2"/>
      <c r="J18" s="27">
        <f t="shared" si="6"/>
        <v>5.5611941730000005</v>
      </c>
      <c r="K18" s="27">
        <f t="shared" si="6"/>
        <v>5.1498230319999996</v>
      </c>
      <c r="L18" s="27">
        <f t="shared" si="6"/>
        <v>-0.41137114100000027</v>
      </c>
    </row>
    <row r="19" spans="1:15" s="9" customFormat="1" x14ac:dyDescent="0.3">
      <c r="A19" s="28" t="s">
        <v>29</v>
      </c>
      <c r="B19" s="29">
        <v>91.707371215000009</v>
      </c>
      <c r="C19" s="23">
        <v>2.6058789120000005</v>
      </c>
      <c r="D19" s="23">
        <v>2.9892062120000005</v>
      </c>
      <c r="E19" s="23">
        <v>4.9326836419999998</v>
      </c>
      <c r="F19" s="23">
        <v>1.3208756934115728E-2</v>
      </c>
      <c r="G19" s="23">
        <f>+SUM(E19:F19)</f>
        <v>4.9458923989341157</v>
      </c>
      <c r="H19" s="23">
        <v>2.5218941969930833</v>
      </c>
      <c r="I19" s="2"/>
      <c r="J19" s="24">
        <f>+D19</f>
        <v>2.9892062120000005</v>
      </c>
      <c r="K19" s="24">
        <v>3.8575836319999999</v>
      </c>
      <c r="L19" s="24">
        <f>+K19-J19</f>
        <v>0.8683774199999994</v>
      </c>
    </row>
    <row r="20" spans="1:15" s="9" customFormat="1" x14ac:dyDescent="0.3">
      <c r="A20" s="28" t="s">
        <v>30</v>
      </c>
      <c r="B20" s="29">
        <v>14.852415698999996</v>
      </c>
      <c r="C20" s="23">
        <v>2.7777263609999996</v>
      </c>
      <c r="D20" s="23">
        <v>2.5719879609999996</v>
      </c>
      <c r="E20" s="23">
        <v>0.76808506099999996</v>
      </c>
      <c r="F20" s="23">
        <v>1.7842999999999609E-3</v>
      </c>
      <c r="G20" s="23">
        <f>+SUM(E20:F20)</f>
        <v>0.76986936099999992</v>
      </c>
      <c r="H20" s="23">
        <v>0.39310164833333305</v>
      </c>
      <c r="I20" s="2"/>
      <c r="J20" s="24">
        <f>+D20</f>
        <v>2.5719879609999996</v>
      </c>
      <c r="K20" s="24">
        <v>1.2922393999999999</v>
      </c>
      <c r="L20" s="24">
        <f>+K20-J20</f>
        <v>-1.2797485609999997</v>
      </c>
    </row>
    <row r="21" spans="1:15" s="9" customFormat="1" x14ac:dyDescent="0.3">
      <c r="A21" s="19" t="s">
        <v>31</v>
      </c>
      <c r="B21" s="20">
        <f>+SUM(B22:B23)</f>
        <v>111.57214686</v>
      </c>
      <c r="C21" s="20">
        <f t="shared" ref="C21:L21" si="7">+SUM(C22:C23)</f>
        <v>9.0297904550000005</v>
      </c>
      <c r="D21" s="20">
        <f t="shared" si="7"/>
        <v>9.6906253550000017</v>
      </c>
      <c r="E21" s="20">
        <f t="shared" si="7"/>
        <v>2.3286572999999997</v>
      </c>
      <c r="F21" s="20">
        <f t="shared" si="7"/>
        <v>0.19872426558129475</v>
      </c>
      <c r="G21" s="20">
        <f t="shared" si="7"/>
        <v>2.5273815655812948</v>
      </c>
      <c r="H21" s="20">
        <v>3.2845419487117864</v>
      </c>
      <c r="I21" s="2"/>
      <c r="J21" s="21">
        <f t="shared" si="7"/>
        <v>9.6906253550000017</v>
      </c>
      <c r="K21" s="21">
        <f t="shared" si="7"/>
        <v>11.400709963999995</v>
      </c>
      <c r="L21" s="21">
        <f t="shared" si="7"/>
        <v>1.7100846089999941</v>
      </c>
    </row>
    <row r="22" spans="1:15" s="9" customFormat="1" x14ac:dyDescent="0.3">
      <c r="A22" s="22" t="s">
        <v>32</v>
      </c>
      <c r="B22" s="23">
        <v>56.43582161600002</v>
      </c>
      <c r="C22" s="23">
        <v>5.2725940450000008</v>
      </c>
      <c r="D22" s="23">
        <v>5.4524028450000008</v>
      </c>
      <c r="E22" s="23">
        <v>1.2184534</v>
      </c>
      <c r="F22" s="23">
        <v>0.17507201693642108</v>
      </c>
      <c r="G22" s="23">
        <f>+SUM(E22:F22)</f>
        <v>1.3935254169364211</v>
      </c>
      <c r="H22" s="23">
        <v>1.6557833146023782</v>
      </c>
      <c r="I22" s="2"/>
      <c r="J22" s="24">
        <f>+D22</f>
        <v>5.4524028450000008</v>
      </c>
      <c r="K22" s="24">
        <v>9.1413368499999947</v>
      </c>
      <c r="L22" s="24">
        <f>+K22-J22</f>
        <v>3.6889340049999939</v>
      </c>
    </row>
    <row r="23" spans="1:15" s="9" customFormat="1" x14ac:dyDescent="0.3">
      <c r="A23" s="22" t="s">
        <v>33</v>
      </c>
      <c r="B23" s="23">
        <v>55.136325243999991</v>
      </c>
      <c r="C23" s="23">
        <v>3.7571964099999993</v>
      </c>
      <c r="D23" s="23">
        <v>4.2382225099999999</v>
      </c>
      <c r="E23" s="23">
        <v>1.1102038999999999</v>
      </c>
      <c r="F23" s="23">
        <v>2.3652248644873673E-2</v>
      </c>
      <c r="G23" s="23">
        <f>+SUM(E23:F23)</f>
        <v>1.1338561486448735</v>
      </c>
      <c r="H23" s="23">
        <v>1.6287586341094085</v>
      </c>
      <c r="I23" s="2"/>
      <c r="J23" s="24">
        <f>+D23</f>
        <v>4.2382225099999999</v>
      </c>
      <c r="K23" s="24">
        <v>2.2593731140000002</v>
      </c>
      <c r="L23" s="24">
        <f>+K23-J23</f>
        <v>-1.9788493959999998</v>
      </c>
    </row>
    <row r="24" spans="1:15" collapsed="1" x14ac:dyDescent="0.3">
      <c r="A24" s="16" t="s">
        <v>34</v>
      </c>
      <c r="B24" s="17">
        <f>+B25+B37</f>
        <v>429.75562698899995</v>
      </c>
      <c r="C24" s="17">
        <f t="shared" ref="C24:L24" si="8">+C25+C37</f>
        <v>26.483575649999995</v>
      </c>
      <c r="D24" s="17">
        <f t="shared" si="8"/>
        <v>23.696294649999999</v>
      </c>
      <c r="E24" s="17">
        <f t="shared" si="8"/>
        <v>8.9849241719999995</v>
      </c>
      <c r="F24" s="17">
        <f t="shared" si="8"/>
        <v>0.67407151719458125</v>
      </c>
      <c r="G24" s="17">
        <f t="shared" si="8"/>
        <v>9.6589956891945796</v>
      </c>
      <c r="H24" s="17">
        <v>9.1987755775204505</v>
      </c>
      <c r="J24" s="18">
        <f t="shared" si="8"/>
        <v>23.696294649999999</v>
      </c>
      <c r="K24" s="18">
        <f t="shared" si="8"/>
        <v>33.101872813</v>
      </c>
      <c r="L24" s="18">
        <f t="shared" si="8"/>
        <v>9.4055781630000013</v>
      </c>
    </row>
    <row r="25" spans="1:15" x14ac:dyDescent="0.3">
      <c r="A25" s="19" t="s">
        <v>35</v>
      </c>
      <c r="B25" s="20">
        <f>+(B26+B30+B31)</f>
        <v>287.78920926599994</v>
      </c>
      <c r="C25" s="20">
        <f t="shared" ref="C25:L25" si="9">+(C26+C30+C31)</f>
        <v>19.750441961999996</v>
      </c>
      <c r="D25" s="20">
        <f t="shared" si="9"/>
        <v>16.188153661999998</v>
      </c>
      <c r="E25" s="20">
        <f t="shared" si="9"/>
        <v>6.4926998720000002</v>
      </c>
      <c r="F25" s="20">
        <f t="shared" si="9"/>
        <v>0.28428267345934261</v>
      </c>
      <c r="G25" s="20">
        <f t="shared" si="9"/>
        <v>6.776982545459342</v>
      </c>
      <c r="H25" s="20">
        <v>3.0880536110574774</v>
      </c>
      <c r="J25" s="21">
        <f t="shared" si="9"/>
        <v>16.188153661999998</v>
      </c>
      <c r="K25" s="21">
        <f t="shared" si="9"/>
        <v>27.054114411999997</v>
      </c>
      <c r="L25" s="21">
        <f t="shared" si="9"/>
        <v>10.865960749999999</v>
      </c>
    </row>
    <row r="26" spans="1:15" x14ac:dyDescent="0.35">
      <c r="A26" s="30" t="s">
        <v>36</v>
      </c>
      <c r="B26" s="31">
        <f>+B27+B28+B29</f>
        <v>138.56705388199998</v>
      </c>
      <c r="C26" s="31">
        <f t="shared" ref="C26:L26" si="10">+C27+C28+C29</f>
        <v>8.6438082000000005</v>
      </c>
      <c r="D26" s="31">
        <f t="shared" si="10"/>
        <v>5.4845465999999998</v>
      </c>
      <c r="E26" s="31">
        <f t="shared" si="10"/>
        <v>2.943511891</v>
      </c>
      <c r="F26" s="31">
        <f t="shared" si="10"/>
        <v>0.2378700137277773</v>
      </c>
      <c r="G26" s="31">
        <f t="shared" si="10"/>
        <v>3.1813819047277772</v>
      </c>
      <c r="H26" s="31">
        <v>0.45964589020402913</v>
      </c>
      <c r="J26" s="32">
        <f t="shared" si="10"/>
        <v>5.4845465999999998</v>
      </c>
      <c r="K26" s="32">
        <f t="shared" si="10"/>
        <v>4.8788135910000001</v>
      </c>
      <c r="L26" s="32">
        <f t="shared" si="10"/>
        <v>-0.60573300900000038</v>
      </c>
      <c r="O26" s="33"/>
    </row>
    <row r="27" spans="1:15" x14ac:dyDescent="0.35">
      <c r="A27" s="34" t="s">
        <v>37</v>
      </c>
      <c r="B27" s="35">
        <v>68.827523349999993</v>
      </c>
      <c r="C27" s="35">
        <v>3.5198552000000003</v>
      </c>
      <c r="D27" s="35">
        <v>1.9900141</v>
      </c>
      <c r="E27" s="35">
        <v>0.52978579999999997</v>
      </c>
      <c r="F27" s="35">
        <v>5.6621804442924514E-2</v>
      </c>
      <c r="G27" s="35">
        <f>+SUM(E27:F27)</f>
        <v>0.5864076044429245</v>
      </c>
      <c r="H27" s="35">
        <v>0.27094398046196633</v>
      </c>
      <c r="J27" s="36">
        <f>+D27</f>
        <v>1.9900141</v>
      </c>
      <c r="K27" s="36">
        <v>1.9687117999999999</v>
      </c>
      <c r="L27" s="36">
        <f>+K27-J27</f>
        <v>-2.1302300000000107E-2</v>
      </c>
    </row>
    <row r="28" spans="1:15" x14ac:dyDescent="0.35">
      <c r="A28" s="34" t="s">
        <v>38</v>
      </c>
      <c r="B28" s="35">
        <v>50.061977427000002</v>
      </c>
      <c r="C28" s="35">
        <v>2.6613804000000001</v>
      </c>
      <c r="D28" s="35">
        <v>1.0319598999999999</v>
      </c>
      <c r="E28" s="35">
        <v>0.43911539099999997</v>
      </c>
      <c r="F28" s="35">
        <v>0.18120303970728824</v>
      </c>
      <c r="G28" s="35">
        <f>+SUM(E28:F28)</f>
        <v>0.6203184307072882</v>
      </c>
      <c r="H28" s="35">
        <v>0.18748807549848476</v>
      </c>
      <c r="J28" s="36">
        <f>+D28</f>
        <v>1.0319598999999999</v>
      </c>
      <c r="K28" s="36">
        <v>1.6897323449999999</v>
      </c>
      <c r="L28" s="36">
        <f>+K28-J28</f>
        <v>0.65777244499999998</v>
      </c>
    </row>
    <row r="29" spans="1:15" x14ac:dyDescent="0.35">
      <c r="A29" s="34" t="s">
        <v>39</v>
      </c>
      <c r="B29" s="35">
        <v>19.677553104999998</v>
      </c>
      <c r="C29" s="35">
        <v>2.4625726000000001</v>
      </c>
      <c r="D29" s="35">
        <v>2.4625726000000001</v>
      </c>
      <c r="E29" s="35">
        <v>1.9746106999999999</v>
      </c>
      <c r="F29" s="35">
        <v>4.5169577564539015E-5</v>
      </c>
      <c r="G29" s="35">
        <f>+SUM(E29:F29)</f>
        <v>1.9746558695775644</v>
      </c>
      <c r="H29" s="35">
        <v>1.2138342435779638E-3</v>
      </c>
      <c r="J29" s="36">
        <f>+D29</f>
        <v>2.4625726000000001</v>
      </c>
      <c r="K29" s="36">
        <v>1.2203694459999999</v>
      </c>
      <c r="L29" s="36">
        <f>+K29-J29</f>
        <v>-1.2422031540000003</v>
      </c>
    </row>
    <row r="30" spans="1:15" x14ac:dyDescent="0.35">
      <c r="A30" s="34" t="s">
        <v>40</v>
      </c>
      <c r="B30" s="35">
        <v>30.437872182999993</v>
      </c>
      <c r="C30" s="35">
        <v>1.7114803999999999</v>
      </c>
      <c r="D30" s="35">
        <v>1.7114803999999999</v>
      </c>
      <c r="E30" s="35">
        <v>0.65390539999999997</v>
      </c>
      <c r="F30" s="35">
        <v>1.6964899999999949E-2</v>
      </c>
      <c r="G30" s="35">
        <f>+SUM(E30:F30)</f>
        <v>0.67087029999999992</v>
      </c>
      <c r="H30" s="35">
        <v>1.9953733333333591E-3</v>
      </c>
      <c r="J30" s="36">
        <f>+D30</f>
        <v>1.7114803999999999</v>
      </c>
      <c r="K30" s="36">
        <v>1.0278750000000001</v>
      </c>
      <c r="L30" s="36">
        <f>+K30-J30</f>
        <v>-0.68360539999999981</v>
      </c>
    </row>
    <row r="31" spans="1:15" collapsed="1" x14ac:dyDescent="0.35">
      <c r="A31" s="30" t="s">
        <v>41</v>
      </c>
      <c r="B31" s="31">
        <f t="shared" ref="B31:G31" si="11">+SUM(B32:B36)</f>
        <v>118.78428320099998</v>
      </c>
      <c r="C31" s="31">
        <f t="shared" si="11"/>
        <v>9.3951533619999985</v>
      </c>
      <c r="D31" s="31">
        <f t="shared" si="11"/>
        <v>8.9921266619999987</v>
      </c>
      <c r="E31" s="31">
        <f t="shared" si="11"/>
        <v>2.895282581</v>
      </c>
      <c r="F31" s="31">
        <f t="shared" si="11"/>
        <v>2.9447759731565378E-2</v>
      </c>
      <c r="G31" s="31">
        <f t="shared" si="11"/>
        <v>2.9247303407315655</v>
      </c>
      <c r="H31" s="31">
        <v>2.6264123475201151</v>
      </c>
      <c r="J31" s="32">
        <f>+SUM(J32:J36)</f>
        <v>8.9921266619999987</v>
      </c>
      <c r="K31" s="32">
        <f>+SUM(K32:K36)</f>
        <v>21.147425820999999</v>
      </c>
      <c r="L31" s="32">
        <f>+SUM(L32:L36)</f>
        <v>12.155299159</v>
      </c>
    </row>
    <row r="32" spans="1:15" x14ac:dyDescent="0.35">
      <c r="A32" s="34" t="s">
        <v>42</v>
      </c>
      <c r="B32" s="35">
        <v>37.365364511999985</v>
      </c>
      <c r="C32" s="35">
        <v>3.7847759119999997</v>
      </c>
      <c r="D32" s="35">
        <v>3.7847759119999997</v>
      </c>
      <c r="E32" s="35">
        <v>0.99297731200000006</v>
      </c>
      <c r="F32" s="35">
        <v>8.5880044359115323E-4</v>
      </c>
      <c r="G32" s="35">
        <f>+SUM(E32:F32)</f>
        <v>0.99383611244359116</v>
      </c>
      <c r="H32" s="35">
        <v>1.3533337769245472E-3</v>
      </c>
      <c r="J32" s="36">
        <f>+D32</f>
        <v>3.7847759119999997</v>
      </c>
      <c r="K32" s="36">
        <v>10.595262699999999</v>
      </c>
      <c r="L32" s="36">
        <f>+K32-J32</f>
        <v>6.8104867879999995</v>
      </c>
    </row>
    <row r="33" spans="1:12" x14ac:dyDescent="0.35">
      <c r="A33" s="34" t="s">
        <v>43</v>
      </c>
      <c r="B33" s="35">
        <v>13.109508840999998</v>
      </c>
      <c r="C33" s="35">
        <v>0.8724544649999999</v>
      </c>
      <c r="D33" s="35">
        <v>0.8724544649999999</v>
      </c>
      <c r="E33" s="35">
        <v>6.1421999999999996E-3</v>
      </c>
      <c r="F33" s="35">
        <v>4.2713999999999391E-3</v>
      </c>
      <c r="G33" s="35">
        <f>+SUM(E33:F33)</f>
        <v>1.041359999999994E-2</v>
      </c>
      <c r="H33" s="35">
        <v>0.44520349666666637</v>
      </c>
      <c r="J33" s="36">
        <f>+D33</f>
        <v>0.8724544649999999</v>
      </c>
      <c r="K33" s="36">
        <v>6.3481773439999998</v>
      </c>
      <c r="L33" s="36">
        <f>+K33-J33</f>
        <v>5.4757228790000001</v>
      </c>
    </row>
    <row r="34" spans="1:12" x14ac:dyDescent="0.35">
      <c r="A34" s="34" t="s">
        <v>44</v>
      </c>
      <c r="B34" s="35">
        <v>33.44306933</v>
      </c>
      <c r="C34" s="35">
        <v>0.58804419100000005</v>
      </c>
      <c r="D34" s="35">
        <v>0.58804419100000005</v>
      </c>
      <c r="E34" s="35">
        <v>0.56720426000000002</v>
      </c>
      <c r="F34" s="35">
        <v>2.090166954308733E-2</v>
      </c>
      <c r="G34" s="35">
        <f>+SUM(E34:F34)</f>
        <v>0.58810592954308738</v>
      </c>
      <c r="H34" s="35">
        <v>2.1771813333333334</v>
      </c>
      <c r="J34" s="36">
        <f>+D34</f>
        <v>0.58804419100000005</v>
      </c>
      <c r="K34" s="36">
        <v>3.3295961690000002</v>
      </c>
      <c r="L34" s="36">
        <f>+K34-J34</f>
        <v>2.7415519780000004</v>
      </c>
    </row>
    <row r="35" spans="1:12" x14ac:dyDescent="0.35">
      <c r="A35" s="34" t="s">
        <v>45</v>
      </c>
      <c r="B35" s="35">
        <v>21.219156925999993</v>
      </c>
      <c r="C35" s="35">
        <v>2.3879692709999998</v>
      </c>
      <c r="D35" s="35">
        <v>1.9849425709999999</v>
      </c>
      <c r="E35" s="35">
        <v>0.90765808599999998</v>
      </c>
      <c r="F35" s="35">
        <v>1.9007897448869368E-3</v>
      </c>
      <c r="G35" s="35">
        <f>+SUM(E35:F35)</f>
        <v>0.90955887574488692</v>
      </c>
      <c r="H35" s="35">
        <v>1.712177076523888E-3</v>
      </c>
      <c r="J35" s="36">
        <f>+D35</f>
        <v>1.9849425709999999</v>
      </c>
      <c r="K35" s="36">
        <v>0.23682500000000001</v>
      </c>
      <c r="L35" s="36">
        <f>+K35-J35</f>
        <v>-1.7481175709999999</v>
      </c>
    </row>
    <row r="36" spans="1:12" x14ac:dyDescent="0.35">
      <c r="A36" s="34" t="s">
        <v>46</v>
      </c>
      <c r="B36" s="35">
        <v>13.647183592000003</v>
      </c>
      <c r="C36" s="35">
        <v>1.7619095230000001</v>
      </c>
      <c r="D36" s="35">
        <v>1.7619095230000001</v>
      </c>
      <c r="E36" s="35">
        <v>0.42130072300000004</v>
      </c>
      <c r="F36" s="35">
        <v>1.5151000000000192E-3</v>
      </c>
      <c r="G36" s="35">
        <f>+SUM(E36:F36)</f>
        <v>0.42281582300000009</v>
      </c>
      <c r="H36" s="35">
        <v>1.712177076523888E-3</v>
      </c>
      <c r="J36" s="36">
        <f>+D36</f>
        <v>1.7619095230000001</v>
      </c>
      <c r="K36" s="36">
        <v>0.63756460800000003</v>
      </c>
      <c r="L36" s="36">
        <f>+K36-J36</f>
        <v>-1.124344915</v>
      </c>
    </row>
    <row r="37" spans="1:12" x14ac:dyDescent="0.35">
      <c r="A37" s="37" t="s">
        <v>47</v>
      </c>
      <c r="B37" s="38">
        <f>+B38+B41</f>
        <v>141.96641772300001</v>
      </c>
      <c r="C37" s="38">
        <f t="shared" ref="C37:L37" si="12">+C38+C41</f>
        <v>6.7331336879999997</v>
      </c>
      <c r="D37" s="38">
        <f t="shared" si="12"/>
        <v>7.5081409879999992</v>
      </c>
      <c r="E37" s="38">
        <f t="shared" si="12"/>
        <v>2.4922243000000002</v>
      </c>
      <c r="F37" s="38">
        <f t="shared" si="12"/>
        <v>0.38978884373523864</v>
      </c>
      <c r="G37" s="38">
        <f t="shared" si="12"/>
        <v>2.8820131437352385</v>
      </c>
      <c r="H37" s="38">
        <v>6.1107219664629726</v>
      </c>
      <c r="J37" s="39">
        <f t="shared" si="12"/>
        <v>7.5081409879999992</v>
      </c>
      <c r="K37" s="39">
        <f t="shared" si="12"/>
        <v>6.0477584010000003</v>
      </c>
      <c r="L37" s="39">
        <f t="shared" si="12"/>
        <v>-1.4603825869999989</v>
      </c>
    </row>
    <row r="38" spans="1:12" collapsed="1" x14ac:dyDescent="0.35">
      <c r="A38" s="30" t="s">
        <v>48</v>
      </c>
      <c r="B38" s="31">
        <f>+SUM(B39:B40)</f>
        <v>65.197005536000006</v>
      </c>
      <c r="C38" s="31">
        <f t="shared" ref="C38:L38" si="13">+SUM(C39:C40)</f>
        <v>1.9911408880000001</v>
      </c>
      <c r="D38" s="31">
        <f t="shared" si="13"/>
        <v>2.7661481879999998</v>
      </c>
      <c r="E38" s="31">
        <f t="shared" si="13"/>
        <v>1.5596565999999998</v>
      </c>
      <c r="F38" s="31">
        <f t="shared" si="13"/>
        <v>4.0559121638629472E-2</v>
      </c>
      <c r="G38" s="31">
        <f t="shared" si="13"/>
        <v>1.6002157216386292</v>
      </c>
      <c r="H38" s="31">
        <v>2.8896965773831149</v>
      </c>
      <c r="J38" s="32">
        <f t="shared" si="13"/>
        <v>2.7661481879999998</v>
      </c>
      <c r="K38" s="32">
        <f t="shared" si="13"/>
        <v>3.1777572110000003</v>
      </c>
      <c r="L38" s="32">
        <f t="shared" si="13"/>
        <v>0.41160902300000068</v>
      </c>
    </row>
    <row r="39" spans="1:12" x14ac:dyDescent="0.35">
      <c r="A39" s="34" t="s">
        <v>49</v>
      </c>
      <c r="B39" s="35">
        <v>40.531199346000008</v>
      </c>
      <c r="C39" s="35">
        <v>1.8292587880000002</v>
      </c>
      <c r="D39" s="35">
        <v>2.6042660879999997</v>
      </c>
      <c r="E39" s="35">
        <v>1.0224833</v>
      </c>
      <c r="F39" s="35">
        <v>3.4742439638629441E-2</v>
      </c>
      <c r="G39" s="35">
        <f>+SUM(E39:F39)</f>
        <v>1.0572257396386293</v>
      </c>
      <c r="H39" s="35">
        <v>1.7642787297164482</v>
      </c>
      <c r="J39" s="36">
        <f>+D39</f>
        <v>2.6042660879999997</v>
      </c>
      <c r="K39" s="36">
        <v>2.6983319110000004</v>
      </c>
      <c r="L39" s="36">
        <f>+K39-J39</f>
        <v>9.4065823000000659E-2</v>
      </c>
    </row>
    <row r="40" spans="1:12" x14ac:dyDescent="0.35">
      <c r="A40" s="34" t="s">
        <v>50</v>
      </c>
      <c r="B40" s="35">
        <v>24.665806189999991</v>
      </c>
      <c r="C40" s="35">
        <v>0.1618821</v>
      </c>
      <c r="D40" s="35">
        <v>0.1618821</v>
      </c>
      <c r="E40" s="35">
        <v>0.53717329999999996</v>
      </c>
      <c r="F40" s="35">
        <v>5.8166820000000313E-3</v>
      </c>
      <c r="G40" s="35">
        <f>+SUM(E40:F40)</f>
        <v>0.54298998200000004</v>
      </c>
      <c r="H40" s="35">
        <v>1.1254178476666665</v>
      </c>
      <c r="J40" s="36">
        <f>+D40</f>
        <v>0.1618821</v>
      </c>
      <c r="K40" s="36">
        <v>0.4794253</v>
      </c>
      <c r="L40" s="36">
        <f>+K40-J40</f>
        <v>0.31754320000000003</v>
      </c>
    </row>
    <row r="41" spans="1:12" collapsed="1" x14ac:dyDescent="0.35">
      <c r="A41" s="30" t="s">
        <v>51</v>
      </c>
      <c r="B41" s="31">
        <f>+SUM(B42:B43)</f>
        <v>76.769412187</v>
      </c>
      <c r="C41" s="31">
        <f t="shared" ref="C41:L41" si="14">+SUM(C42:C43)</f>
        <v>4.7419927999999993</v>
      </c>
      <c r="D41" s="31">
        <f t="shared" si="14"/>
        <v>4.7419927999999993</v>
      </c>
      <c r="E41" s="31">
        <f t="shared" si="14"/>
        <v>0.93256770000000011</v>
      </c>
      <c r="F41" s="31">
        <f t="shared" si="14"/>
        <v>0.34922972209660919</v>
      </c>
      <c r="G41" s="31">
        <f t="shared" si="14"/>
        <v>1.2817974220966093</v>
      </c>
      <c r="H41" s="31">
        <v>3.221025389079859</v>
      </c>
      <c r="J41" s="32">
        <f t="shared" si="14"/>
        <v>4.7419927999999993</v>
      </c>
      <c r="K41" s="32">
        <f t="shared" si="14"/>
        <v>2.87000119</v>
      </c>
      <c r="L41" s="32">
        <f t="shared" si="14"/>
        <v>-1.8719916099999996</v>
      </c>
    </row>
    <row r="42" spans="1:12" x14ac:dyDescent="0.35">
      <c r="A42" s="34" t="s">
        <v>52</v>
      </c>
      <c r="B42" s="35">
        <v>32.876960308000001</v>
      </c>
      <c r="C42" s="35">
        <v>1.4089509</v>
      </c>
      <c r="D42" s="35">
        <v>1.4089509</v>
      </c>
      <c r="E42" s="35">
        <v>0.93256770000000011</v>
      </c>
      <c r="F42" s="35">
        <v>0.17137334241319269</v>
      </c>
      <c r="G42" s="35">
        <f>+SUM(E42:F42)</f>
        <v>1.1039410424131928</v>
      </c>
      <c r="H42" s="35">
        <v>2.464594669079859</v>
      </c>
      <c r="J42" s="36">
        <f>+D42</f>
        <v>1.4089509</v>
      </c>
      <c r="K42" s="36">
        <v>1.0311794000000001</v>
      </c>
      <c r="L42" s="36">
        <f>+K42-J42</f>
        <v>-0.37777149999999993</v>
      </c>
    </row>
    <row r="43" spans="1:12" x14ac:dyDescent="0.35">
      <c r="A43" s="34" t="s">
        <v>53</v>
      </c>
      <c r="B43" s="35">
        <v>43.892451878999999</v>
      </c>
      <c r="C43" s="35">
        <v>3.3330418999999996</v>
      </c>
      <c r="D43" s="35">
        <v>3.3330418999999996</v>
      </c>
      <c r="E43" s="35">
        <v>0</v>
      </c>
      <c r="F43" s="35">
        <v>0.17785637968341647</v>
      </c>
      <c r="G43" s="35">
        <f>+SUM(E43:F43)</f>
        <v>0.17785637968341647</v>
      </c>
      <c r="H43" s="35">
        <v>0.75643072000000011</v>
      </c>
      <c r="J43" s="36">
        <f>+D43</f>
        <v>3.3330418999999996</v>
      </c>
      <c r="K43" s="36">
        <v>1.8388217899999999</v>
      </c>
      <c r="L43" s="36">
        <f>+K43-J43</f>
        <v>-1.4942201099999997</v>
      </c>
    </row>
    <row r="44" spans="1:12" x14ac:dyDescent="0.35">
      <c r="A44" s="40" t="s">
        <v>54</v>
      </c>
      <c r="B44" s="41">
        <f>+B45+B48</f>
        <v>240.79271701599987</v>
      </c>
      <c r="C44" s="41">
        <f t="shared" ref="C44:L44" si="15">+C45+C48</f>
        <v>10.146873229999999</v>
      </c>
      <c r="D44" s="41">
        <f t="shared" si="15"/>
        <v>8.6115067099999987</v>
      </c>
      <c r="E44" s="41">
        <f t="shared" si="15"/>
        <v>0.91724605100000001</v>
      </c>
      <c r="F44" s="41">
        <f t="shared" si="15"/>
        <v>0.86920189204123877</v>
      </c>
      <c r="G44" s="41">
        <f t="shared" si="15"/>
        <v>1.7864479430412388</v>
      </c>
      <c r="H44" s="41">
        <v>4.9064727648524773</v>
      </c>
      <c r="J44" s="42">
        <f t="shared" si="15"/>
        <v>8.6115067099999987</v>
      </c>
      <c r="K44" s="42">
        <f t="shared" si="15"/>
        <v>11.507778256000002</v>
      </c>
      <c r="L44" s="42">
        <f t="shared" si="15"/>
        <v>2.8962715460000017</v>
      </c>
    </row>
    <row r="45" spans="1:12" collapsed="1" x14ac:dyDescent="0.35">
      <c r="A45" s="37" t="s">
        <v>55</v>
      </c>
      <c r="B45" s="38">
        <f>+SUM(B46:B47)</f>
        <v>125.76096977899991</v>
      </c>
      <c r="C45" s="38">
        <f t="shared" ref="C45:L45" si="16">+SUM(C46:C47)</f>
        <v>2.8483967519999998</v>
      </c>
      <c r="D45" s="38">
        <f t="shared" si="16"/>
        <v>2.8483967519999998</v>
      </c>
      <c r="E45" s="38">
        <f t="shared" si="16"/>
        <v>0.27286566900000003</v>
      </c>
      <c r="F45" s="38">
        <f t="shared" si="16"/>
        <v>0.61363317164323261</v>
      </c>
      <c r="G45" s="38">
        <f t="shared" si="16"/>
        <v>0.8864988406432327</v>
      </c>
      <c r="H45" s="38">
        <v>3.1489982685194251</v>
      </c>
      <c r="J45" s="39">
        <f t="shared" si="16"/>
        <v>2.8483967519999998</v>
      </c>
      <c r="K45" s="39">
        <f t="shared" si="16"/>
        <v>5.1942905850000001</v>
      </c>
      <c r="L45" s="39">
        <f t="shared" si="16"/>
        <v>2.3458938330000008</v>
      </c>
    </row>
    <row r="46" spans="1:12" x14ac:dyDescent="0.35">
      <c r="A46" s="34" t="s">
        <v>56</v>
      </c>
      <c r="B46" s="35">
        <v>49.668184212</v>
      </c>
      <c r="C46" s="35">
        <v>0.98019829999999997</v>
      </c>
      <c r="D46" s="35">
        <v>0.98019829999999997</v>
      </c>
      <c r="E46" s="35">
        <v>0</v>
      </c>
      <c r="F46" s="35">
        <v>0.28954321993392673</v>
      </c>
      <c r="G46" s="35">
        <f>+SUM(E46:F46)</f>
        <v>0.28954321993392673</v>
      </c>
      <c r="H46" s="35">
        <v>0.83109549266666649</v>
      </c>
      <c r="J46" s="36">
        <f>+D46</f>
        <v>0.98019829999999997</v>
      </c>
      <c r="K46" s="36">
        <v>1.0850640000000003</v>
      </c>
      <c r="L46" s="36">
        <f>+K46-J46</f>
        <v>0.10486570000000028</v>
      </c>
    </row>
    <row r="47" spans="1:12" x14ac:dyDescent="0.35">
      <c r="A47" s="34" t="s">
        <v>57</v>
      </c>
      <c r="B47" s="35">
        <v>76.092785566999908</v>
      </c>
      <c r="C47" s="35">
        <v>1.8681984519999999</v>
      </c>
      <c r="D47" s="35">
        <v>1.8681984519999999</v>
      </c>
      <c r="E47" s="35">
        <v>0.27286566900000003</v>
      </c>
      <c r="F47" s="35">
        <v>0.32408995170930593</v>
      </c>
      <c r="G47" s="35">
        <f>+SUM(E47:F47)</f>
        <v>0.59695562070930597</v>
      </c>
      <c r="H47" s="35">
        <v>2.3179027758527591</v>
      </c>
      <c r="J47" s="36">
        <f>+D47</f>
        <v>1.8681984519999999</v>
      </c>
      <c r="K47" s="36">
        <v>4.109226585</v>
      </c>
      <c r="L47" s="36">
        <f>+K47-J47</f>
        <v>2.2410281330000004</v>
      </c>
    </row>
    <row r="48" spans="1:12" collapsed="1" x14ac:dyDescent="0.35">
      <c r="A48" s="37" t="s">
        <v>58</v>
      </c>
      <c r="B48" s="38">
        <f>+SUM(B49:B51)</f>
        <v>115.03174723699996</v>
      </c>
      <c r="C48" s="38">
        <f t="shared" ref="C48:L48" si="17">+SUM(C49:C51)</f>
        <v>7.2984764779999995</v>
      </c>
      <c r="D48" s="38">
        <f t="shared" si="17"/>
        <v>5.7631099579999994</v>
      </c>
      <c r="E48" s="38">
        <f t="shared" si="17"/>
        <v>0.64438038200000003</v>
      </c>
      <c r="F48" s="38">
        <f t="shared" si="17"/>
        <v>0.25556872039800616</v>
      </c>
      <c r="G48" s="38">
        <f t="shared" si="17"/>
        <v>0.89994910239800618</v>
      </c>
      <c r="H48" s="38">
        <v>1.7574744963330529</v>
      </c>
      <c r="J48" s="39">
        <f t="shared" si="17"/>
        <v>5.7631099579999994</v>
      </c>
      <c r="K48" s="39">
        <f t="shared" si="17"/>
        <v>6.3134876710000007</v>
      </c>
      <c r="L48" s="39">
        <f t="shared" si="17"/>
        <v>0.55037771300000093</v>
      </c>
    </row>
    <row r="49" spans="1:12" x14ac:dyDescent="0.35">
      <c r="A49" s="34" t="s">
        <v>59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f>+SUM(E49:F49)</f>
        <v>0</v>
      </c>
      <c r="H49" s="35">
        <v>0</v>
      </c>
      <c r="J49" s="36">
        <f>+D49</f>
        <v>0</v>
      </c>
      <c r="K49" s="36">
        <v>0</v>
      </c>
      <c r="L49" s="36">
        <f>+K49-J49</f>
        <v>0</v>
      </c>
    </row>
    <row r="50" spans="1:12" x14ac:dyDescent="0.35">
      <c r="A50" s="34" t="s">
        <v>60</v>
      </c>
      <c r="B50" s="35">
        <v>65.624220561999962</v>
      </c>
      <c r="C50" s="35">
        <v>4.1291691799999999</v>
      </c>
      <c r="D50" s="35">
        <v>4.0097803599999997</v>
      </c>
      <c r="E50" s="35">
        <v>0.453425782</v>
      </c>
      <c r="F50" s="35">
        <v>6.545312039800627E-2</v>
      </c>
      <c r="G50" s="35">
        <f>+SUM(E50:F50)</f>
        <v>0.51887890239800627</v>
      </c>
      <c r="H50" s="35">
        <v>0.73859902966638624</v>
      </c>
      <c r="J50" s="36">
        <f>+D50</f>
        <v>4.0097803599999997</v>
      </c>
      <c r="K50" s="36">
        <v>4.0641986710000007</v>
      </c>
      <c r="L50" s="36">
        <f>+K50-J50</f>
        <v>5.4418311000000941E-2</v>
      </c>
    </row>
    <row r="51" spans="1:12" x14ac:dyDescent="0.35">
      <c r="A51" s="34" t="s">
        <v>61</v>
      </c>
      <c r="B51" s="35">
        <v>49.407526674999993</v>
      </c>
      <c r="C51" s="35">
        <v>3.1693072980000001</v>
      </c>
      <c r="D51" s="35">
        <v>1.7533295980000001</v>
      </c>
      <c r="E51" s="35">
        <v>0.1909546</v>
      </c>
      <c r="F51" s="35">
        <v>0.19011559999999991</v>
      </c>
      <c r="G51" s="35">
        <f>+SUM(E51:F51)</f>
        <v>0.38107019999999991</v>
      </c>
      <c r="H51" s="35">
        <v>1.0188754666666666</v>
      </c>
      <c r="J51" s="36">
        <f>+D51</f>
        <v>1.7533295980000001</v>
      </c>
      <c r="K51" s="36">
        <v>2.2492890000000001</v>
      </c>
      <c r="L51" s="36">
        <f>+K51-J51</f>
        <v>0.49595940199999999</v>
      </c>
    </row>
    <row r="53" spans="1:12" x14ac:dyDescent="0.35">
      <c r="G53" s="33"/>
      <c r="H53" s="33"/>
    </row>
    <row r="54" spans="1:12" x14ac:dyDescent="0.35">
      <c r="G54" s="33"/>
      <c r="H54" s="33"/>
    </row>
    <row r="55" spans="1:12" x14ac:dyDescent="0.35">
      <c r="C55" s="44"/>
      <c r="G55" s="44"/>
      <c r="H55" s="44"/>
    </row>
    <row r="56" spans="1:12" x14ac:dyDescent="0.35">
      <c r="G56" s="45"/>
      <c r="H56" s="45"/>
    </row>
    <row r="57" spans="1:12" x14ac:dyDescent="0.35">
      <c r="F57" s="46"/>
      <c r="G57" s="45"/>
      <c r="H57" s="45"/>
    </row>
  </sheetData>
  <mergeCells count="8">
    <mergeCell ref="A1:L1"/>
    <mergeCell ref="A2:A3"/>
    <mergeCell ref="B2:B3"/>
    <mergeCell ref="C2:C3"/>
    <mergeCell ref="D2:D3"/>
    <mergeCell ref="E2:G2"/>
    <mergeCell ref="H2:H3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Intern-lokesh ---Chola</dc:creator>
  <cp:lastModifiedBy>Intern-lokesh ---Chola</cp:lastModifiedBy>
  <dcterms:created xsi:type="dcterms:W3CDTF">2026-06-24T09:07:20Z</dcterms:created>
  <dcterms:modified xsi:type="dcterms:W3CDTF">2026-06-24T09:08:54Z</dcterms:modified>
</cp:coreProperties>
</file>